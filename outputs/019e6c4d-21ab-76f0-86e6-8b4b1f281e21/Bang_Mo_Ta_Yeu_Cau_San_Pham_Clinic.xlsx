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chức năng" state="visible" r:id="rId4"/>
    <sheet sheetId="2" name="Hệ số hiệu chỉnh" state="visible" r:id="rId5"/>
    <sheet sheetId="3" name="Công nghệ triển khai" state="visible" r:id="rId6"/>
    <sheet sheetId="4" name="Danh mục chi phí" state="visible" r:id="rId7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D7" authorId="0">
      <text>
        <r>
          <t>Người dùng đăng nhập bằng email và mật khẩu để truy cập hệ thống.</t>
        </r>
      </text>
    </comment>
    <comment ref="D8" authorId="0">
      <text>
        <r>
          <t>Bệnh nhân tự đăng ký tài khoản với xác thực OTP qua email.</t>
        </r>
      </text>
    </comment>
    <comment ref="D9" authorId="0">
      <text>
        <r>
          <t>Người dùng đặt lại mật khẩu thông qua OTP hoặc liên kết gửi về email.</t>
        </r>
      </text>
    </comment>
    <comment ref="D10" authorId="0">
      <text>
        <r>
          <t>Người dùng đăng nhập bằng tài khoản Google; tài khoản mới được cấp vai trò bệnh nhân.</t>
        </r>
      </text>
    </comment>
    <comment ref="D11" authorId="0">
      <text>
        <r>
          <t>Người dùng đăng xuất khỏi hệ thống và token phiên bị thu hồi ngay lập tức.</t>
        </r>
      </text>
    </comment>
    <comment ref="D12" authorId="0">
      <text>
        <r>
          <t>Người dùng đang đăng nhập đổi mật khẩu và thu hồi các phiên cũ.</t>
        </r>
      </text>
    </comment>
    <comment ref="D13" authorId="0">
      <text>
        <r>
          <t>Người dùng cập nhật thông tin cá nhân và ảnh đại diện.</t>
        </r>
      </text>
    </comment>
    <comment ref="D14" authorId="0">
      <text>
        <r>
          <t>Admin tạo, cập nhật hoặc vô hiệu hóa tài khoản bác sĩ và lễ tân.</t>
        </r>
      </text>
    </comment>
    <comment ref="D15" authorId="0">
      <text>
        <r>
          <t>Bệnh nhân chọn chuyên khoa, bác sĩ, ca trực và ngày khám để đặt lịch.</t>
        </r>
      </text>
    </comment>
    <comment ref="D16" authorId="0">
      <text>
        <r>
          <t>Lễ tân đặt lịch thay cho bệnh nhân đến trực tiếp hoặc gọi điện.</t>
        </r>
      </text>
    </comment>
    <comment ref="D17" authorId="0">
      <text>
        <r>
          <t>Bệnh nhân, lễ tân hoặc admin hủy lịch theo chính sách của phòng khám.</t>
        </r>
      </text>
    </comment>
    <comment ref="D18" authorId="0">
      <text>
        <r>
          <t>Lịch hẹn được chuyển sang ca bác sĩ khác trong khi vẫn giữ bản ghi lịch hẹn.</t>
        </r>
      </text>
    </comment>
    <comment ref="D19" authorId="0">
      <text>
        <r>
          <t>Lễ tân check-in khi bệnh nhân đến và tạo hồ sơ lượt khám.</t>
        </r>
      </text>
    </comment>
    <comment ref="D20" authorId="0">
      <text>
        <r>
          <t>Bác sĩ ghi triệu chứng, sinh hiệu, chẩn đoán và hình ảnh triệu chứng.</t>
        </r>
      </text>
    </comment>
    <comment ref="D21" authorId="0">
      <text>
        <r>
          <t>Bác sĩ tạo đơn thuốc, chi tiết thuốc và trừ tồn kho trong cùng transaction.</t>
        </r>
      </text>
    </comment>
    <comment ref="D22" authorId="0">
      <text>
        <r>
          <t>Admin tạo, cập nhật hoặc ngừng kích hoạt thuốc trong danh mục.</t>
        </r>
      </text>
    </comment>
    <comment ref="D23" authorId="0">
      <text>
        <r>
          <t>Admin ghi nhận thuốc nhập từ nhà cung cấp và tăng tồn kho.</t>
        </r>
      </text>
    </comment>
    <comment ref="D24" authorId="0">
      <text>
        <r>
          <t>Lễ tân tạo hóa đơn cho lượt khám đã hoàn tất, gồm phí khám và thuốc.</t>
        </r>
      </text>
    </comment>
    <comment ref="D25" authorId="0">
      <text>
        <r>
          <t>Lễ tân ghi nhận thanh toán tiền mặt, chuyển khoản hoặc cổng thanh toán tương lai.</t>
        </r>
      </text>
    </comment>
    <comment ref="D26" authorId="0">
      <text>
        <r>
          <t>Admin xử lý hoàn tiền cho hóa đơn đã thanh toán khi phát sinh nghiệp vụ.</t>
        </r>
      </text>
    </comment>
    <comment ref="D27" authorId="0">
      <text>
        <r>
          <t>Admin tạo bảng lương tháng dựa trên lương cơ bản, chấm công và tăng ca.</t>
        </r>
      </text>
    </comment>
    <comment ref="D28" authorId="0">
      <text>
        <r>
          <t>Admin hoặc cron tự động sinh lịch trực bác sĩ cho giai đoạn tương lai.</t>
        </r>
      </text>
    </comment>
    <comment ref="D29" authorId="0">
      <text>
        <r>
          <t>Nhân viên clock-in và clock-out để ghi nhận ngày công.</t>
        </r>
      </text>
    </comment>
    <comment ref="D30" authorId="0">
      <text>
        <r>
          <t>Admin tra cứu lịch sử thao tác phục vụ kiểm tra và điều tra sự cố.</t>
        </r>
      </text>
    </comment>
    <comment ref="D31" authorId="0">
      <text>
        <r>
          <t>Admin tạo báo cáo doanh thu, lượt khám, kho và lương theo kỳ, có thể xuất Excel/PDF.</t>
        </r>
      </text>
    </comment>
    <comment ref="D32" authorId="0">
      <text>
        <r>
          <t>Admin thay đổi tham số runtime như slot/ca, phí khám và ngưỡng cảnh báo.</t>
        </r>
      </text>
    </comment>
    <comment ref="D33" authorId="0">
      <text>
        <r>
          <t>Admin bật hoặc tắt maintenance mode mà không cần triển khai lại.</t>
        </r>
      </text>
    </comment>
    <comment ref="D34" authorId="0">
      <text>
        <r>
          <t>Bệnh nhân xem hồ sơ của mình; nhân viên xem hồ sơ trong phạm vi quyền.</t>
        </r>
      </text>
    </comment>
    <comment ref="D35" authorId="0">
      <text>
        <r>
          <t>Admin xem tổng quan lịch hẹn hôm nay, doanh thu, cảnh báo kho và chấm công.</t>
        </r>
      </text>
    </comment>
  </commentList>
</comments>
</file>

<file path=xl/sharedStrings.xml><?xml version="1.0" encoding="utf-8"?>
<sst xmlns="http://schemas.openxmlformats.org/spreadsheetml/2006/main" count="225" uniqueCount="127">
  <si>
    <t>DANH SÁCH CÁC CHỨC NĂNG</t>
  </si>
  <si>
    <t>Tên dự án:</t>
  </si>
  <si>
    <t>Clinic Management System</t>
  </si>
  <si>
    <t>Người thực hiện</t>
  </si>
  <si>
    <t>Nguyen Minh Thien</t>
  </si>
  <si>
    <t>STT</t>
  </si>
  <si>
    <t>Tên chức năng chính</t>
  </si>
  <si>
    <t>Tên chức năng con</t>
  </si>
  <si>
    <t>Môi trường triển khai</t>
  </si>
  <si>
    <t/>
  </si>
  <si>
    <t>DANH SÁCH ĐỘ ĐO</t>
  </si>
  <si>
    <t>Web</t>
  </si>
  <si>
    <t>Mobile</t>
  </si>
  <si>
    <t>C1</t>
  </si>
  <si>
    <t>W1</t>
  </si>
  <si>
    <t>C2</t>
  </si>
  <si>
    <t>W2</t>
  </si>
  <si>
    <t>C3</t>
  </si>
  <si>
    <t>W3</t>
  </si>
  <si>
    <t>C4</t>
  </si>
  <si>
    <t>W4</t>
  </si>
  <si>
    <t>C5</t>
  </si>
  <si>
    <t>W5</t>
  </si>
  <si>
    <t>Tổng</t>
  </si>
  <si>
    <t>Authentication</t>
  </si>
  <si>
    <t>Đăng nhập</t>
  </si>
  <si>
    <t>X</t>
  </si>
  <si>
    <t>Đăng ký</t>
  </si>
  <si>
    <t>Quên mật khẩu</t>
  </si>
  <si>
    <t>Đăng nhập Google OAuth</t>
  </si>
  <si>
    <t>Đăng xuất</t>
  </si>
  <si>
    <t>User Profile</t>
  </si>
  <si>
    <t>Đổi mật khẩu</t>
  </si>
  <si>
    <t>Cập nhật hồ sơ</t>
  </si>
  <si>
    <t>User Management</t>
  </si>
  <si>
    <t>Quản lý tài khoản nhân viên</t>
  </si>
  <si>
    <t>Appointment</t>
  </si>
  <si>
    <t>Đặt lịch online</t>
  </si>
  <si>
    <t>Đặt lịch offline</t>
  </si>
  <si>
    <t>Hủy lịch hẹn</t>
  </si>
  <si>
    <t>Đổi lịch hẹn</t>
  </si>
  <si>
    <t>Visit</t>
  </si>
  <si>
    <t>Check-in bệnh nhân</t>
  </si>
  <si>
    <t>Ghi nhận lượt khám</t>
  </si>
  <si>
    <t>Prescription</t>
  </si>
  <si>
    <t>Kê đơn thuốc</t>
  </si>
  <si>
    <t>Inventory</t>
  </si>
  <si>
    <t>Quản lý thuốc</t>
  </si>
  <si>
    <t>Nhập thuốc vào kho</t>
  </si>
  <si>
    <t>Finance</t>
  </si>
  <si>
    <t>Tạo hóa đơn</t>
  </si>
  <si>
    <t>Xử lý thanh toán</t>
  </si>
  <si>
    <t>Xử lý hoàn tiền</t>
  </si>
  <si>
    <t>Payroll</t>
  </si>
  <si>
    <t>Tính lương</t>
  </si>
  <si>
    <t>Shift</t>
  </si>
  <si>
    <t>Sinh lịch bác sĩ</t>
  </si>
  <si>
    <t>Attendance</t>
  </si>
  <si>
    <t>Chấm công</t>
  </si>
  <si>
    <t>Audit</t>
  </si>
  <si>
    <t>Xem audit log</t>
  </si>
  <si>
    <t>Reporting</t>
  </si>
  <si>
    <t>Xuất báo cáo</t>
  </si>
  <si>
    <t>System Settings</t>
  </si>
  <si>
    <t>Cập nhật cấu hình hệ thống</t>
  </si>
  <si>
    <t>Bật/tắt chế độ bảo trì</t>
  </si>
  <si>
    <t>Medical Records</t>
  </si>
  <si>
    <t>Xem lịch sử khám</t>
  </si>
  <si>
    <t>Dashboard</t>
  </si>
  <si>
    <t>Xem dashboard</t>
  </si>
  <si>
    <t>Tính hệ số hiệu chỉnh (VAF)</t>
  </si>
  <si>
    <t>0.65 + 0.01 x 49</t>
  </si>
  <si>
    <t>Số lượng FP</t>
  </si>
  <si>
    <t>VAF x 639</t>
  </si>
  <si>
    <t>Frontend</t>
  </si>
  <si>
    <t>Backend</t>
  </si>
  <si>
    <t>Tổng số lượng</t>
  </si>
  <si>
    <t>Tên</t>
  </si>
  <si>
    <t>Giá trị</t>
  </si>
  <si>
    <t>Đơn vị</t>
  </si>
  <si>
    <t>Chi phí trả mỗi người/tháng</t>
  </si>
  <si>
    <t>USD</t>
  </si>
  <si>
    <t>Năng suất giả định</t>
  </si>
  <si>
    <t>FP/pm</t>
  </si>
  <si>
    <t>Chi phí mỗi FP</t>
  </si>
  <si>
    <t>Câu hỏi (Yếu tố kỹ thuật)</t>
  </si>
  <si>
    <t>Điểm (Fi)</t>
  </si>
  <si>
    <t>Lý do chọn</t>
  </si>
  <si>
    <t>Bảo đảm an toàn khi cập nhật &amp; cứu dữ liệu?</t>
  </si>
  <si>
    <t>Hệ thống quản lý dữ liệu y tế, đơn thuốc, hóa đơn và tồn kho; cần transaction, audit log và phân quyền chặt chẽ.</t>
  </si>
  <si>
    <t>Có đòi hỏi truyền thông không?</t>
  </si>
  <si>
    <t>Ứng dụng web client-server, gửi email/OTP, OAuth và thông báo trong app.</t>
  </si>
  <si>
    <t>Có xử lý phân bố không?</t>
  </si>
  <si>
    <t>Backend, database, cache và dịch vụ ngoài tách lớp; chưa phải hệ phân tán phức tạp nhiều vùng.</t>
  </si>
  <si>
    <t>Tốc độ có quan trọng không?</t>
  </si>
  <si>
    <t>Danh sách, tìm kiếm, đặt lịch, dashboard và check-in cần phản hồi nhanh trong giờ cao điểm.</t>
  </si>
  <si>
    <t>Có đòi hỏi cấu hình mạnh?</t>
  </si>
  <si>
    <t>Cần DB ổn định, cache, xử lý báo cáo và transaction tồn kho/tài chính.</t>
  </si>
  <si>
    <t>Nhập dữ liệu có transaction?</t>
  </si>
  <si>
    <t>Đặt lịch đồng thời, kê đơn trừ kho, tạo hóa đơn và thanh toán đều cần tính nguyên tử.</t>
  </si>
  <si>
    <t>Dữ liệu lưu trữ cập nhật trực tuyến?</t>
  </si>
  <si>
    <t>Hầu hết nghiệp vụ như lịch hẹn, khám bệnh, hóa đơn, kho và cấu hình được cập nhật trực tuyến.</t>
  </si>
  <si>
    <t>Nhập/xuất/truy vấn phức tạp?</t>
  </si>
  <si>
    <t>Có lọc/tìm kiếm nhiều chiều, báo cáo Excel/PDF, dashboard và audit log.</t>
  </si>
  <si>
    <t>Xử lý bên trong phức tạp?</t>
  </si>
  <si>
    <t>Có state machine lịch hẹn/lượt khám/hóa đơn, scheduler, cảnh báo kho và payroll.</t>
  </si>
  <si>
    <t>Mã nguồn cần thiết kế dùng lại?</t>
  </si>
  <si>
    <t>Nhiều module CRUD và rule dùng chung; cần service, validator, middleware và component tái sử dụng.</t>
  </si>
  <si>
    <t>Chuyển đổi dữ liệu &amp; cài đặt có trong thiết kế?</t>
  </si>
  <si>
    <t>Có nhu cầu migrate hồ sơ bệnh nhân, lịch sử khám và nhân viên từ Excel/giấy sang MySQL.</t>
  </si>
  <si>
    <t>Dễ thay đổi &amp; dễ dùng?</t>
  </si>
  <si>
    <t>Phòng khám cần UI dễ dùng và tham số nghiệp vụ có thể cấu hình runtime.</t>
  </si>
  <si>
    <t>KẾT QUẢ TÍNH TOÁN ĐỘ ĐO CHỨC NĂNG CỦA PHẦN MỀM</t>
  </si>
  <si>
    <t>Stt</t>
  </si>
  <si>
    <t>Danh mục độ đo</t>
  </si>
  <si>
    <t>Tổng Số lượng</t>
  </si>
  <si>
    <t>Tổng chi phí hiệu chỉnh</t>
  </si>
  <si>
    <t>TỔNG CHI PHÍ PHÁT TRIỂN PHẦN MỀM (USD)</t>
  </si>
  <si>
    <t>Danh mục chi phí</t>
  </si>
  <si>
    <t>Tỷ lệ</t>
  </si>
  <si>
    <t>Thành tiền</t>
  </si>
  <si>
    <t>Chi phí BA</t>
  </si>
  <si>
    <t>Chi phí Dev</t>
  </si>
  <si>
    <t>Chi phí Testing</t>
  </si>
  <si>
    <t>Chi phí Training</t>
  </si>
  <si>
    <t>Chi phí khác</t>
  </si>
  <si>
    <t>Tổng chi phí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</si>
</sst>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Calibri"/>
    </font>
    <font>
      <color rgb="FF000000"/>
      <sz val="11"/>
      <name val="Calibri"/>
    </font>
    <font>
      <b/>
      <color rgb="FF0000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rgb="FFFFFF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FormatPr defaultRowHeight="15" outlineLevelRow="0" outlineLevelCol="0" x14ac:dyDescent="55"/>
  <cols>
    <col min="1" max="1" width="15.38" customWidth="1"/>
    <col min="2" max="2" width="32.63" customWidth="1"/>
    <col min="3" max="3" width="44.75" customWidth="1"/>
    <col min="4" max="4" width="11.75" customWidth="1"/>
    <col min="5" max="5" width="7.88" customWidth="1"/>
    <col min="6" max="6" width="3.75" customWidth="1"/>
    <col min="7" max="7" width="4.38" customWidth="1"/>
    <col min="8" max="8" width="3.75" customWidth="1"/>
    <col min="9" max="9" width="4.38" customWidth="1"/>
    <col min="10" max="10" width="3.75" customWidth="1"/>
    <col min="11" max="11" width="4.38" customWidth="1"/>
    <col min="12" max="12" width="3.75" customWidth="1"/>
    <col min="13" max="13" width="4.38" customWidth="1"/>
    <col min="14" max="14" width="3.75" customWidth="1"/>
    <col min="15" max="15" width="4.38" customWidth="1"/>
    <col min="16" max="16" width="12" customWidth="1"/>
  </cols>
  <sheetData>
    <row r="1" ht="2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16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 t="s">
        <v>5</v>
      </c>
      <c r="B6" s="3" t="s">
        <v>6</v>
      </c>
      <c r="C6" s="3" t="s">
        <v>7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  <c r="O6" s="3" t="s">
        <v>22</v>
      </c>
      <c r="P6" s="3" t="s">
        <v>23</v>
      </c>
    </row>
    <row r="7" ht="24" customHeight="1" spans="1:16" x14ac:dyDescent="0.25">
      <c r="A7" s="4">
        <v>1</v>
      </c>
      <c r="B7" s="2" t="s">
        <v>24</v>
      </c>
      <c r="C7" s="2" t="s">
        <v>25</v>
      </c>
      <c r="D7" s="4" t="s">
        <v>26</v>
      </c>
      <c r="E7" s="4" t="s">
        <v>9</v>
      </c>
      <c r="F7" s="4">
        <v>1</v>
      </c>
      <c r="G7" s="4">
        <v>4</v>
      </c>
      <c r="H7" s="4">
        <v>1</v>
      </c>
      <c r="I7" s="4">
        <v>5</v>
      </c>
      <c r="J7" s="4">
        <v>0</v>
      </c>
      <c r="K7" s="4">
        <v>4</v>
      </c>
      <c r="L7" s="4">
        <v>1</v>
      </c>
      <c r="M7" s="4">
        <v>10</v>
      </c>
      <c r="N7" s="4">
        <v>0</v>
      </c>
      <c r="O7" s="4">
        <v>7</v>
      </c>
      <c r="P7" s="4">
        <f>F7*G7+H7*I7+J7*K7+L7*M7+N7*O7</f>
        <v>19</v>
      </c>
    </row>
    <row r="8" ht="24" customHeight="1" spans="1:16" x14ac:dyDescent="0.25">
      <c r="A8" s="4">
        <v>2</v>
      </c>
      <c r="B8" s="2" t="s">
        <v>24</v>
      </c>
      <c r="C8" s="2" t="s">
        <v>27</v>
      </c>
      <c r="D8" s="4" t="s">
        <v>26</v>
      </c>
      <c r="E8" s="4" t="s">
        <v>9</v>
      </c>
      <c r="F8" s="4">
        <v>1</v>
      </c>
      <c r="G8" s="4">
        <v>4</v>
      </c>
      <c r="H8" s="4">
        <v>1</v>
      </c>
      <c r="I8" s="4">
        <v>5</v>
      </c>
      <c r="J8" s="4">
        <v>0</v>
      </c>
      <c r="K8" s="4">
        <v>4</v>
      </c>
      <c r="L8" s="4">
        <v>1</v>
      </c>
      <c r="M8" s="4">
        <v>10</v>
      </c>
      <c r="N8" s="4">
        <v>1</v>
      </c>
      <c r="O8" s="4">
        <v>7</v>
      </c>
      <c r="P8" s="4">
        <f>F8*G8+H8*I8+J8*K8+L8*M8+N8*O8</f>
        <v>26</v>
      </c>
    </row>
    <row r="9" ht="24" customHeight="1" spans="1:16" x14ac:dyDescent="0.25">
      <c r="A9" s="4">
        <v>3</v>
      </c>
      <c r="B9" s="2" t="s">
        <v>24</v>
      </c>
      <c r="C9" s="2" t="s">
        <v>28</v>
      </c>
      <c r="D9" s="4" t="s">
        <v>26</v>
      </c>
      <c r="E9" s="4" t="s">
        <v>9</v>
      </c>
      <c r="F9" s="4">
        <v>1</v>
      </c>
      <c r="G9" s="4">
        <v>4</v>
      </c>
      <c r="H9" s="4">
        <v>1</v>
      </c>
      <c r="I9" s="4">
        <v>5</v>
      </c>
      <c r="J9" s="4">
        <v>0</v>
      </c>
      <c r="K9" s="4">
        <v>4</v>
      </c>
      <c r="L9" s="4">
        <v>0</v>
      </c>
      <c r="M9" s="4">
        <v>10</v>
      </c>
      <c r="N9" s="4">
        <v>1</v>
      </c>
      <c r="O9" s="4">
        <v>7</v>
      </c>
      <c r="P9" s="4">
        <f>F9*G9+H9*I9+J9*K9+L9*M9+N9*O9</f>
        <v>16</v>
      </c>
    </row>
    <row r="10" ht="24" customHeight="1" spans="1:16" x14ac:dyDescent="0.25">
      <c r="A10" s="4">
        <v>4</v>
      </c>
      <c r="B10" s="2" t="s">
        <v>24</v>
      </c>
      <c r="C10" s="2" t="s">
        <v>29</v>
      </c>
      <c r="D10" s="4" t="s">
        <v>26</v>
      </c>
      <c r="E10" s="4" t="s">
        <v>9</v>
      </c>
      <c r="F10" s="4">
        <v>1</v>
      </c>
      <c r="G10" s="4">
        <v>4</v>
      </c>
      <c r="H10" s="4">
        <v>1</v>
      </c>
      <c r="I10" s="4">
        <v>5</v>
      </c>
      <c r="J10" s="4">
        <v>0</v>
      </c>
      <c r="K10" s="4">
        <v>4</v>
      </c>
      <c r="L10" s="4">
        <v>1</v>
      </c>
      <c r="M10" s="4">
        <v>10</v>
      </c>
      <c r="N10" s="4">
        <v>1</v>
      </c>
      <c r="O10" s="4">
        <v>7</v>
      </c>
      <c r="P10" s="4">
        <f>F10*G10+H10*I10+J10*K10+L10*M10+N10*O10</f>
        <v>26</v>
      </c>
    </row>
    <row r="11" ht="24" customHeight="1" spans="1:16" x14ac:dyDescent="0.25">
      <c r="A11" s="4">
        <v>5</v>
      </c>
      <c r="B11" s="2" t="s">
        <v>24</v>
      </c>
      <c r="C11" s="2" t="s">
        <v>30</v>
      </c>
      <c r="D11" s="4" t="s">
        <v>26</v>
      </c>
      <c r="E11" s="4" t="s">
        <v>9</v>
      </c>
      <c r="F11" s="4">
        <v>1</v>
      </c>
      <c r="G11" s="4">
        <v>4</v>
      </c>
      <c r="H11" s="4">
        <v>1</v>
      </c>
      <c r="I11" s="4">
        <v>5</v>
      </c>
      <c r="J11" s="4">
        <v>0</v>
      </c>
      <c r="K11" s="4">
        <v>4</v>
      </c>
      <c r="L11" s="4">
        <v>0</v>
      </c>
      <c r="M11" s="4">
        <v>10</v>
      </c>
      <c r="N11" s="4">
        <v>0</v>
      </c>
      <c r="O11" s="4">
        <v>7</v>
      </c>
      <c r="P11" s="4">
        <f>F11*G11+H11*I11+J11*K11+L11*M11+N11*O11</f>
        <v>9</v>
      </c>
    </row>
    <row r="12" ht="24" customHeight="1" spans="1:16" x14ac:dyDescent="0.25">
      <c r="A12" s="4">
        <v>6</v>
      </c>
      <c r="B12" s="2" t="s">
        <v>31</v>
      </c>
      <c r="C12" s="2" t="s">
        <v>32</v>
      </c>
      <c r="D12" s="4" t="s">
        <v>26</v>
      </c>
      <c r="E12" s="4" t="s">
        <v>9</v>
      </c>
      <c r="F12" s="4">
        <v>1</v>
      </c>
      <c r="G12" s="4">
        <v>4</v>
      </c>
      <c r="H12" s="4">
        <v>1</v>
      </c>
      <c r="I12" s="4">
        <v>5</v>
      </c>
      <c r="J12" s="4">
        <v>0</v>
      </c>
      <c r="K12" s="4">
        <v>4</v>
      </c>
      <c r="L12" s="4">
        <v>1</v>
      </c>
      <c r="M12" s="4">
        <v>10</v>
      </c>
      <c r="N12" s="4">
        <v>0</v>
      </c>
      <c r="O12" s="4">
        <v>7</v>
      </c>
      <c r="P12" s="4">
        <f>F12*G12+H12*I12+J12*K12+L12*M12+N12*O12</f>
        <v>19</v>
      </c>
    </row>
    <row r="13" ht="24" customHeight="1" spans="1:16" x14ac:dyDescent="0.25">
      <c r="A13" s="4">
        <v>7</v>
      </c>
      <c r="B13" s="2" t="s">
        <v>31</v>
      </c>
      <c r="C13" s="2" t="s">
        <v>33</v>
      </c>
      <c r="D13" s="4" t="s">
        <v>26</v>
      </c>
      <c r="E13" s="4" t="s">
        <v>9</v>
      </c>
      <c r="F13" s="4">
        <v>1</v>
      </c>
      <c r="G13" s="4">
        <v>4</v>
      </c>
      <c r="H13" s="4">
        <v>1</v>
      </c>
      <c r="I13" s="4">
        <v>5</v>
      </c>
      <c r="J13" s="4">
        <v>0</v>
      </c>
      <c r="K13" s="4">
        <v>4</v>
      </c>
      <c r="L13" s="4">
        <v>1</v>
      </c>
      <c r="M13" s="4">
        <v>10</v>
      </c>
      <c r="N13" s="4">
        <v>0</v>
      </c>
      <c r="O13" s="4">
        <v>7</v>
      </c>
      <c r="P13" s="4">
        <f>F13*G13+H13*I13+J13*K13+L13*M13+N13*O13</f>
        <v>19</v>
      </c>
    </row>
    <row r="14" ht="24" customHeight="1" spans="1:16" x14ac:dyDescent="0.25">
      <c r="A14" s="4">
        <v>8</v>
      </c>
      <c r="B14" s="2" t="s">
        <v>34</v>
      </c>
      <c r="C14" s="2" t="s">
        <v>35</v>
      </c>
      <c r="D14" s="4" t="s">
        <v>26</v>
      </c>
      <c r="E14" s="4" t="s">
        <v>9</v>
      </c>
      <c r="F14" s="4">
        <v>1</v>
      </c>
      <c r="G14" s="4">
        <v>4</v>
      </c>
      <c r="H14" s="4">
        <v>1</v>
      </c>
      <c r="I14" s="4">
        <v>5</v>
      </c>
      <c r="J14" s="4">
        <v>1</v>
      </c>
      <c r="K14" s="4">
        <v>4</v>
      </c>
      <c r="L14" s="4">
        <v>1</v>
      </c>
      <c r="M14" s="4">
        <v>10</v>
      </c>
      <c r="N14" s="4">
        <v>0</v>
      </c>
      <c r="O14" s="4">
        <v>7</v>
      </c>
      <c r="P14" s="4">
        <f>F14*G14+H14*I14+J14*K14+L14*M14+N14*O14</f>
        <v>23</v>
      </c>
    </row>
    <row r="15" ht="24" customHeight="1" spans="1:16" x14ac:dyDescent="0.25">
      <c r="A15" s="4">
        <v>9</v>
      </c>
      <c r="B15" s="2" t="s">
        <v>36</v>
      </c>
      <c r="C15" s="2" t="s">
        <v>37</v>
      </c>
      <c r="D15" s="4" t="s">
        <v>26</v>
      </c>
      <c r="E15" s="4" t="s">
        <v>9</v>
      </c>
      <c r="F15" s="4">
        <v>1</v>
      </c>
      <c r="G15" s="4">
        <v>4</v>
      </c>
      <c r="H15" s="4">
        <v>1</v>
      </c>
      <c r="I15" s="4">
        <v>5</v>
      </c>
      <c r="J15" s="4">
        <v>1</v>
      </c>
      <c r="K15" s="4">
        <v>4</v>
      </c>
      <c r="L15" s="4">
        <v>1</v>
      </c>
      <c r="M15" s="4">
        <v>10</v>
      </c>
      <c r="N15" s="4">
        <v>1</v>
      </c>
      <c r="O15" s="4">
        <v>7</v>
      </c>
      <c r="P15" s="4">
        <f>F15*G15+H15*I15+J15*K15+L15*M15+N15*O15</f>
        <v>30</v>
      </c>
    </row>
    <row r="16" ht="24" customHeight="1" spans="1:16" x14ac:dyDescent="0.25">
      <c r="A16" s="4">
        <v>10</v>
      </c>
      <c r="B16" s="2" t="s">
        <v>36</v>
      </c>
      <c r="C16" s="2" t="s">
        <v>38</v>
      </c>
      <c r="D16" s="4" t="s">
        <v>26</v>
      </c>
      <c r="E16" s="4" t="s">
        <v>9</v>
      </c>
      <c r="F16" s="4">
        <v>1</v>
      </c>
      <c r="G16" s="4">
        <v>4</v>
      </c>
      <c r="H16" s="4">
        <v>1</v>
      </c>
      <c r="I16" s="4">
        <v>5</v>
      </c>
      <c r="J16" s="4">
        <v>1</v>
      </c>
      <c r="K16" s="4">
        <v>4</v>
      </c>
      <c r="L16" s="4">
        <v>1</v>
      </c>
      <c r="M16" s="4">
        <v>10</v>
      </c>
      <c r="N16" s="4">
        <v>0</v>
      </c>
      <c r="O16" s="4">
        <v>7</v>
      </c>
      <c r="P16" s="4">
        <f>F16*G16+H16*I16+J16*K16+L16*M16+N16*O16</f>
        <v>23</v>
      </c>
    </row>
    <row r="17" ht="24" customHeight="1" spans="1:16" x14ac:dyDescent="0.25">
      <c r="A17" s="4">
        <v>11</v>
      </c>
      <c r="B17" s="2" t="s">
        <v>36</v>
      </c>
      <c r="C17" s="2" t="s">
        <v>39</v>
      </c>
      <c r="D17" s="4" t="s">
        <v>26</v>
      </c>
      <c r="E17" s="4" t="s">
        <v>9</v>
      </c>
      <c r="F17" s="4">
        <v>1</v>
      </c>
      <c r="G17" s="4">
        <v>4</v>
      </c>
      <c r="H17" s="4">
        <v>1</v>
      </c>
      <c r="I17" s="4">
        <v>5</v>
      </c>
      <c r="J17" s="4">
        <v>1</v>
      </c>
      <c r="K17" s="4">
        <v>4</v>
      </c>
      <c r="L17" s="4">
        <v>1</v>
      </c>
      <c r="M17" s="4">
        <v>10</v>
      </c>
      <c r="N17" s="4">
        <v>1</v>
      </c>
      <c r="O17" s="4">
        <v>7</v>
      </c>
      <c r="P17" s="4">
        <f>F17*G17+H17*I17+J17*K17+L17*M17+N17*O17</f>
        <v>30</v>
      </c>
    </row>
    <row r="18" ht="24" customHeight="1" spans="1:16" x14ac:dyDescent="0.25">
      <c r="A18" s="4">
        <v>12</v>
      </c>
      <c r="B18" s="2" t="s">
        <v>36</v>
      </c>
      <c r="C18" s="2" t="s">
        <v>40</v>
      </c>
      <c r="D18" s="4" t="s">
        <v>26</v>
      </c>
      <c r="E18" s="4" t="s">
        <v>9</v>
      </c>
      <c r="F18" s="4">
        <v>1</v>
      </c>
      <c r="G18" s="4">
        <v>4</v>
      </c>
      <c r="H18" s="4">
        <v>1</v>
      </c>
      <c r="I18" s="4">
        <v>5</v>
      </c>
      <c r="J18" s="4">
        <v>1</v>
      </c>
      <c r="K18" s="4">
        <v>4</v>
      </c>
      <c r="L18" s="4">
        <v>1</v>
      </c>
      <c r="M18" s="4">
        <v>10</v>
      </c>
      <c r="N18" s="4">
        <v>1</v>
      </c>
      <c r="O18" s="4">
        <v>7</v>
      </c>
      <c r="P18" s="4">
        <f>F18*G18+H18*I18+J18*K18+L18*M18+N18*O18</f>
        <v>30</v>
      </c>
    </row>
    <row r="19" ht="24" customHeight="1" spans="1:16" x14ac:dyDescent="0.25">
      <c r="A19" s="4">
        <v>13</v>
      </c>
      <c r="B19" s="2" t="s">
        <v>41</v>
      </c>
      <c r="C19" s="2" t="s">
        <v>42</v>
      </c>
      <c r="D19" s="4" t="s">
        <v>26</v>
      </c>
      <c r="E19" s="4" t="s">
        <v>9</v>
      </c>
      <c r="F19" s="4">
        <v>1</v>
      </c>
      <c r="G19" s="4">
        <v>4</v>
      </c>
      <c r="H19" s="4">
        <v>1</v>
      </c>
      <c r="I19" s="4">
        <v>5</v>
      </c>
      <c r="J19" s="4">
        <v>1</v>
      </c>
      <c r="K19" s="4">
        <v>4</v>
      </c>
      <c r="L19" s="4">
        <v>1</v>
      </c>
      <c r="M19" s="4">
        <v>10</v>
      </c>
      <c r="N19" s="4">
        <v>0</v>
      </c>
      <c r="O19" s="4">
        <v>7</v>
      </c>
      <c r="P19" s="4">
        <f>F19*G19+H19*I19+J19*K19+L19*M19+N19*O19</f>
        <v>23</v>
      </c>
    </row>
    <row r="20" ht="24" customHeight="1" spans="1:16" x14ac:dyDescent="0.25">
      <c r="A20" s="4">
        <v>14</v>
      </c>
      <c r="B20" s="2" t="s">
        <v>41</v>
      </c>
      <c r="C20" s="2" t="s">
        <v>43</v>
      </c>
      <c r="D20" s="4" t="s">
        <v>26</v>
      </c>
      <c r="E20" s="4" t="s">
        <v>9</v>
      </c>
      <c r="F20" s="4">
        <v>1</v>
      </c>
      <c r="G20" s="4">
        <v>4</v>
      </c>
      <c r="H20" s="4">
        <v>1</v>
      </c>
      <c r="I20" s="4">
        <v>5</v>
      </c>
      <c r="J20" s="4">
        <v>1</v>
      </c>
      <c r="K20" s="4">
        <v>4</v>
      </c>
      <c r="L20" s="4">
        <v>1</v>
      </c>
      <c r="M20" s="4">
        <v>10</v>
      </c>
      <c r="N20" s="4">
        <v>0</v>
      </c>
      <c r="O20" s="4">
        <v>7</v>
      </c>
      <c r="P20" s="4">
        <f>F20*G20+H20*I20+J20*K20+L20*M20+N20*O20</f>
        <v>23</v>
      </c>
    </row>
    <row r="21" ht="24" customHeight="1" spans="1:16" x14ac:dyDescent="0.25">
      <c r="A21" s="4">
        <v>15</v>
      </c>
      <c r="B21" s="2" t="s">
        <v>44</v>
      </c>
      <c r="C21" s="2" t="s">
        <v>45</v>
      </c>
      <c r="D21" s="4" t="s">
        <v>26</v>
      </c>
      <c r="E21" s="4" t="s">
        <v>9</v>
      </c>
      <c r="F21" s="4">
        <v>1</v>
      </c>
      <c r="G21" s="4">
        <v>4</v>
      </c>
      <c r="H21" s="4">
        <v>1</v>
      </c>
      <c r="I21" s="4">
        <v>5</v>
      </c>
      <c r="J21" s="4">
        <v>1</v>
      </c>
      <c r="K21" s="4">
        <v>4</v>
      </c>
      <c r="L21" s="4">
        <v>1</v>
      </c>
      <c r="M21" s="4">
        <v>10</v>
      </c>
      <c r="N21" s="4">
        <v>0</v>
      </c>
      <c r="O21" s="4">
        <v>7</v>
      </c>
      <c r="P21" s="4">
        <f>F21*G21+H21*I21+J21*K21+L21*M21+N21*O21</f>
        <v>23</v>
      </c>
    </row>
    <row r="22" ht="24" customHeight="1" spans="1:16" x14ac:dyDescent="0.25">
      <c r="A22" s="4">
        <v>16</v>
      </c>
      <c r="B22" s="2" t="s">
        <v>46</v>
      </c>
      <c r="C22" s="2" t="s">
        <v>47</v>
      </c>
      <c r="D22" s="4" t="s">
        <v>26</v>
      </c>
      <c r="E22" s="4" t="s">
        <v>9</v>
      </c>
      <c r="F22" s="4">
        <v>1</v>
      </c>
      <c r="G22" s="4">
        <v>4</v>
      </c>
      <c r="H22" s="4">
        <v>1</v>
      </c>
      <c r="I22" s="4">
        <v>5</v>
      </c>
      <c r="J22" s="4">
        <v>1</v>
      </c>
      <c r="K22" s="4">
        <v>4</v>
      </c>
      <c r="L22" s="4">
        <v>1</v>
      </c>
      <c r="M22" s="4">
        <v>10</v>
      </c>
      <c r="N22" s="4">
        <v>0</v>
      </c>
      <c r="O22" s="4">
        <v>7</v>
      </c>
      <c r="P22" s="4">
        <f>F22*G22+H22*I22+J22*K22+L22*M22+N22*O22</f>
        <v>23</v>
      </c>
    </row>
    <row r="23" ht="24" customHeight="1" spans="1:16" x14ac:dyDescent="0.25">
      <c r="A23" s="4">
        <v>17</v>
      </c>
      <c r="B23" s="2" t="s">
        <v>46</v>
      </c>
      <c r="C23" s="2" t="s">
        <v>48</v>
      </c>
      <c r="D23" s="4" t="s">
        <v>26</v>
      </c>
      <c r="E23" s="4" t="s">
        <v>9</v>
      </c>
      <c r="F23" s="4">
        <v>1</v>
      </c>
      <c r="G23" s="4">
        <v>4</v>
      </c>
      <c r="H23" s="4">
        <v>1</v>
      </c>
      <c r="I23" s="4">
        <v>5</v>
      </c>
      <c r="J23" s="4">
        <v>1</v>
      </c>
      <c r="K23" s="4">
        <v>4</v>
      </c>
      <c r="L23" s="4">
        <v>1</v>
      </c>
      <c r="M23" s="4">
        <v>10</v>
      </c>
      <c r="N23" s="4">
        <v>0</v>
      </c>
      <c r="O23" s="4">
        <v>7</v>
      </c>
      <c r="P23" s="4">
        <f>F23*G23+H23*I23+J23*K23+L23*M23+N23*O23</f>
        <v>23</v>
      </c>
    </row>
    <row r="24" ht="24" customHeight="1" spans="1:16" x14ac:dyDescent="0.25">
      <c r="A24" s="4">
        <v>18</v>
      </c>
      <c r="B24" s="2" t="s">
        <v>49</v>
      </c>
      <c r="C24" s="2" t="s">
        <v>50</v>
      </c>
      <c r="D24" s="4" t="s">
        <v>26</v>
      </c>
      <c r="E24" s="4" t="s">
        <v>9</v>
      </c>
      <c r="F24" s="4">
        <v>1</v>
      </c>
      <c r="G24" s="4">
        <v>4</v>
      </c>
      <c r="H24" s="4">
        <v>1</v>
      </c>
      <c r="I24" s="4">
        <v>5</v>
      </c>
      <c r="J24" s="4">
        <v>1</v>
      </c>
      <c r="K24" s="4">
        <v>4</v>
      </c>
      <c r="L24" s="4">
        <v>1</v>
      </c>
      <c r="M24" s="4">
        <v>10</v>
      </c>
      <c r="N24" s="4">
        <v>0</v>
      </c>
      <c r="O24" s="4">
        <v>7</v>
      </c>
      <c r="P24" s="4">
        <f>F24*G24+H24*I24+J24*K24+L24*M24+N24*O24</f>
        <v>23</v>
      </c>
    </row>
    <row r="25" ht="24" customHeight="1" spans="1:16" x14ac:dyDescent="0.25">
      <c r="A25" s="4">
        <v>19</v>
      </c>
      <c r="B25" s="2" t="s">
        <v>49</v>
      </c>
      <c r="C25" s="2" t="s">
        <v>51</v>
      </c>
      <c r="D25" s="4" t="s">
        <v>26</v>
      </c>
      <c r="E25" s="4" t="s">
        <v>9</v>
      </c>
      <c r="F25" s="4">
        <v>1</v>
      </c>
      <c r="G25" s="4">
        <v>4</v>
      </c>
      <c r="H25" s="4">
        <v>1</v>
      </c>
      <c r="I25" s="4">
        <v>5</v>
      </c>
      <c r="J25" s="4">
        <v>1</v>
      </c>
      <c r="K25" s="4">
        <v>4</v>
      </c>
      <c r="L25" s="4">
        <v>1</v>
      </c>
      <c r="M25" s="4">
        <v>10</v>
      </c>
      <c r="N25" s="4">
        <v>1</v>
      </c>
      <c r="O25" s="4">
        <v>7</v>
      </c>
      <c r="P25" s="4">
        <f>F25*G25+H25*I25+J25*K25+L25*M25+N25*O25</f>
        <v>30</v>
      </c>
    </row>
    <row r="26" ht="24" customHeight="1" spans="1:16" x14ac:dyDescent="0.25">
      <c r="A26" s="4">
        <v>20</v>
      </c>
      <c r="B26" s="2" t="s">
        <v>49</v>
      </c>
      <c r="C26" s="2" t="s">
        <v>52</v>
      </c>
      <c r="D26" s="4" t="s">
        <v>26</v>
      </c>
      <c r="E26" s="4" t="s">
        <v>9</v>
      </c>
      <c r="F26" s="4">
        <v>1</v>
      </c>
      <c r="G26" s="4">
        <v>4</v>
      </c>
      <c r="H26" s="4">
        <v>1</v>
      </c>
      <c r="I26" s="4">
        <v>5</v>
      </c>
      <c r="J26" s="4">
        <v>1</v>
      </c>
      <c r="K26" s="4">
        <v>4</v>
      </c>
      <c r="L26" s="4">
        <v>1</v>
      </c>
      <c r="M26" s="4">
        <v>10</v>
      </c>
      <c r="N26" s="4">
        <v>0</v>
      </c>
      <c r="O26" s="4">
        <v>7</v>
      </c>
      <c r="P26" s="4">
        <f>F26*G26+H26*I26+J26*K26+L26*M26+N26*O26</f>
        <v>23</v>
      </c>
    </row>
    <row r="27" ht="24" customHeight="1" spans="1:16" x14ac:dyDescent="0.25">
      <c r="A27" s="4">
        <v>21</v>
      </c>
      <c r="B27" s="2" t="s">
        <v>53</v>
      </c>
      <c r="C27" s="2" t="s">
        <v>54</v>
      </c>
      <c r="D27" s="4" t="s">
        <v>26</v>
      </c>
      <c r="E27" s="4" t="s">
        <v>9</v>
      </c>
      <c r="F27" s="4">
        <v>1</v>
      </c>
      <c r="G27" s="4">
        <v>4</v>
      </c>
      <c r="H27" s="4">
        <v>1</v>
      </c>
      <c r="I27" s="4">
        <v>5</v>
      </c>
      <c r="J27" s="4">
        <v>1</v>
      </c>
      <c r="K27" s="4">
        <v>4</v>
      </c>
      <c r="L27" s="4">
        <v>1</v>
      </c>
      <c r="M27" s="4">
        <v>10</v>
      </c>
      <c r="N27" s="4">
        <v>0</v>
      </c>
      <c r="O27" s="4">
        <v>7</v>
      </c>
      <c r="P27" s="4">
        <f>F27*G27+H27*I27+J27*K27+L27*M27+N27*O27</f>
        <v>23</v>
      </c>
    </row>
    <row r="28" ht="24" customHeight="1" spans="1:16" x14ac:dyDescent="0.25">
      <c r="A28" s="4">
        <v>22</v>
      </c>
      <c r="B28" s="2" t="s">
        <v>55</v>
      </c>
      <c r="C28" s="2" t="s">
        <v>56</v>
      </c>
      <c r="D28" s="4" t="s">
        <v>26</v>
      </c>
      <c r="E28" s="4" t="s">
        <v>9</v>
      </c>
      <c r="F28" s="4">
        <v>1</v>
      </c>
      <c r="G28" s="4">
        <v>4</v>
      </c>
      <c r="H28" s="4">
        <v>1</v>
      </c>
      <c r="I28" s="4">
        <v>5</v>
      </c>
      <c r="J28" s="4">
        <v>1</v>
      </c>
      <c r="K28" s="4">
        <v>4</v>
      </c>
      <c r="L28" s="4">
        <v>1</v>
      </c>
      <c r="M28" s="4">
        <v>10</v>
      </c>
      <c r="N28" s="4">
        <v>0</v>
      </c>
      <c r="O28" s="4">
        <v>7</v>
      </c>
      <c r="P28" s="4">
        <f>F28*G28+H28*I28+J28*K28+L28*M28+N28*O28</f>
        <v>23</v>
      </c>
    </row>
    <row r="29" ht="24" customHeight="1" spans="1:16" x14ac:dyDescent="0.25">
      <c r="A29" s="4">
        <v>23</v>
      </c>
      <c r="B29" s="2" t="s">
        <v>57</v>
      </c>
      <c r="C29" s="2" t="s">
        <v>58</v>
      </c>
      <c r="D29" s="4" t="s">
        <v>26</v>
      </c>
      <c r="E29" s="4" t="s">
        <v>9</v>
      </c>
      <c r="F29" s="4">
        <v>1</v>
      </c>
      <c r="G29" s="4">
        <v>4</v>
      </c>
      <c r="H29" s="4">
        <v>1</v>
      </c>
      <c r="I29" s="4">
        <v>5</v>
      </c>
      <c r="J29" s="4">
        <v>1</v>
      </c>
      <c r="K29" s="4">
        <v>4</v>
      </c>
      <c r="L29" s="4">
        <v>1</v>
      </c>
      <c r="M29" s="4">
        <v>10</v>
      </c>
      <c r="N29" s="4">
        <v>0</v>
      </c>
      <c r="O29" s="4">
        <v>7</v>
      </c>
      <c r="P29" s="4">
        <f>F29*G29+H29*I29+J29*K29+L29*M29+N29*O29</f>
        <v>23</v>
      </c>
    </row>
    <row r="30" ht="24" customHeight="1" spans="1:16" x14ac:dyDescent="0.25">
      <c r="A30" s="4">
        <v>24</v>
      </c>
      <c r="B30" s="2" t="s">
        <v>59</v>
      </c>
      <c r="C30" s="2" t="s">
        <v>60</v>
      </c>
      <c r="D30" s="4" t="s">
        <v>26</v>
      </c>
      <c r="E30" s="4" t="s">
        <v>9</v>
      </c>
      <c r="F30" s="4">
        <v>0</v>
      </c>
      <c r="G30" s="4">
        <v>4</v>
      </c>
      <c r="H30" s="4">
        <v>0</v>
      </c>
      <c r="I30" s="4">
        <v>5</v>
      </c>
      <c r="J30" s="4">
        <v>1</v>
      </c>
      <c r="K30" s="4">
        <v>4</v>
      </c>
      <c r="L30" s="4">
        <v>1</v>
      </c>
      <c r="M30" s="4">
        <v>10</v>
      </c>
      <c r="N30" s="4">
        <v>0</v>
      </c>
      <c r="O30" s="4">
        <v>7</v>
      </c>
      <c r="P30" s="4">
        <f>F30*G30+H30*I30+J30*K30+L30*M30+N30*O30</f>
        <v>14</v>
      </c>
    </row>
    <row r="31" ht="24" customHeight="1" spans="1:16" x14ac:dyDescent="0.25">
      <c r="A31" s="4">
        <v>25</v>
      </c>
      <c r="B31" s="2" t="s">
        <v>61</v>
      </c>
      <c r="C31" s="2" t="s">
        <v>62</v>
      </c>
      <c r="D31" s="4" t="s">
        <v>26</v>
      </c>
      <c r="E31" s="4" t="s">
        <v>9</v>
      </c>
      <c r="F31" s="4">
        <v>1</v>
      </c>
      <c r="G31" s="4">
        <v>4</v>
      </c>
      <c r="H31" s="4">
        <v>0</v>
      </c>
      <c r="I31" s="4">
        <v>5</v>
      </c>
      <c r="J31" s="4">
        <v>1</v>
      </c>
      <c r="K31" s="4">
        <v>4</v>
      </c>
      <c r="L31" s="4">
        <v>1</v>
      </c>
      <c r="M31" s="4">
        <v>10</v>
      </c>
      <c r="N31" s="4">
        <v>1</v>
      </c>
      <c r="O31" s="4">
        <v>7</v>
      </c>
      <c r="P31" s="4">
        <f>F31*G31+H31*I31+J31*K31+L31*M31+N31*O31</f>
        <v>25</v>
      </c>
    </row>
    <row r="32" ht="24" customHeight="1" spans="1:16" x14ac:dyDescent="0.25">
      <c r="A32" s="4">
        <v>26</v>
      </c>
      <c r="B32" s="2" t="s">
        <v>63</v>
      </c>
      <c r="C32" s="2" t="s">
        <v>64</v>
      </c>
      <c r="D32" s="4" t="s">
        <v>26</v>
      </c>
      <c r="E32" s="4" t="s">
        <v>9</v>
      </c>
      <c r="F32" s="4">
        <v>1</v>
      </c>
      <c r="G32" s="4">
        <v>4</v>
      </c>
      <c r="H32" s="4">
        <v>1</v>
      </c>
      <c r="I32" s="4">
        <v>5</v>
      </c>
      <c r="J32" s="4">
        <v>1</v>
      </c>
      <c r="K32" s="4">
        <v>4</v>
      </c>
      <c r="L32" s="4">
        <v>1</v>
      </c>
      <c r="M32" s="4">
        <v>10</v>
      </c>
      <c r="N32" s="4">
        <v>0</v>
      </c>
      <c r="O32" s="4">
        <v>7</v>
      </c>
      <c r="P32" s="4">
        <f>F32*G32+H32*I32+J32*K32+L32*M32+N32*O32</f>
        <v>23</v>
      </c>
    </row>
    <row r="33" ht="24" customHeight="1" spans="1:16" x14ac:dyDescent="0.25">
      <c r="A33" s="4">
        <v>27</v>
      </c>
      <c r="B33" s="2" t="s">
        <v>63</v>
      </c>
      <c r="C33" s="2" t="s">
        <v>65</v>
      </c>
      <c r="D33" s="4" t="s">
        <v>26</v>
      </c>
      <c r="E33" s="4" t="s">
        <v>9</v>
      </c>
      <c r="F33" s="4">
        <v>1</v>
      </c>
      <c r="G33" s="4">
        <v>4</v>
      </c>
      <c r="H33" s="4">
        <v>1</v>
      </c>
      <c r="I33" s="4">
        <v>5</v>
      </c>
      <c r="J33" s="4">
        <v>0</v>
      </c>
      <c r="K33" s="4">
        <v>4</v>
      </c>
      <c r="L33" s="4">
        <v>1</v>
      </c>
      <c r="M33" s="4">
        <v>10</v>
      </c>
      <c r="N33" s="4">
        <v>0</v>
      </c>
      <c r="O33" s="4">
        <v>7</v>
      </c>
      <c r="P33" s="4">
        <f>F33*G33+H33*I33+J33*K33+L33*M33+N33*O33</f>
        <v>19</v>
      </c>
    </row>
    <row r="34" ht="24" customHeight="1" spans="1:16" x14ac:dyDescent="0.25">
      <c r="A34" s="4">
        <v>28</v>
      </c>
      <c r="B34" s="2" t="s">
        <v>66</v>
      </c>
      <c r="C34" s="2" t="s">
        <v>67</v>
      </c>
      <c r="D34" s="4" t="s">
        <v>26</v>
      </c>
      <c r="E34" s="4" t="s">
        <v>9</v>
      </c>
      <c r="F34" s="4">
        <v>0</v>
      </c>
      <c r="G34" s="4">
        <v>4</v>
      </c>
      <c r="H34" s="4">
        <v>0</v>
      </c>
      <c r="I34" s="4">
        <v>5</v>
      </c>
      <c r="J34" s="4">
        <v>1</v>
      </c>
      <c r="K34" s="4">
        <v>4</v>
      </c>
      <c r="L34" s="4">
        <v>1</v>
      </c>
      <c r="M34" s="4">
        <v>10</v>
      </c>
      <c r="N34" s="4">
        <v>0</v>
      </c>
      <c r="O34" s="4">
        <v>7</v>
      </c>
      <c r="P34" s="4">
        <f>F34*G34+H34*I34+J34*K34+L34*M34+N34*O34</f>
        <v>14</v>
      </c>
    </row>
    <row r="35" ht="24" customHeight="1" spans="1:16" x14ac:dyDescent="0.25">
      <c r="A35" s="4">
        <v>29</v>
      </c>
      <c r="B35" s="2" t="s">
        <v>68</v>
      </c>
      <c r="C35" s="2" t="s">
        <v>69</v>
      </c>
      <c r="D35" s="4" t="s">
        <v>26</v>
      </c>
      <c r="E35" s="4" t="s">
        <v>9</v>
      </c>
      <c r="F35" s="4">
        <v>0</v>
      </c>
      <c r="G35" s="4">
        <v>4</v>
      </c>
      <c r="H35" s="4">
        <v>0</v>
      </c>
      <c r="I35" s="4">
        <v>5</v>
      </c>
      <c r="J35" s="4">
        <v>1</v>
      </c>
      <c r="K35" s="4">
        <v>4</v>
      </c>
      <c r="L35" s="4">
        <v>1</v>
      </c>
      <c r="M35" s="4">
        <v>10</v>
      </c>
      <c r="N35" s="4">
        <v>0</v>
      </c>
      <c r="O35" s="4">
        <v>7</v>
      </c>
      <c r="P35" s="4">
        <f>F35*G35+H35*I35+J35*K35+L35*M35+N35*O35</f>
        <v>14</v>
      </c>
    </row>
    <row r="36" spans="1:16" x14ac:dyDescent="0.25">
      <c r="A36" s="5" t="s">
        <v>9</v>
      </c>
      <c r="B36" s="5" t="s">
        <v>23</v>
      </c>
      <c r="C36" s="5" t="s">
        <v>9</v>
      </c>
      <c r="D36" s="5" t="s">
        <v>9</v>
      </c>
      <c r="E36" s="5" t="s">
        <v>9</v>
      </c>
      <c r="F36" s="5" t="s">
        <v>9</v>
      </c>
      <c r="G36" s="5">
        <f>SUMPRODUCT(F7:F35,G7:G35)</f>
        <v>104</v>
      </c>
      <c r="H36" s="5" t="s">
        <v>9</v>
      </c>
      <c r="I36" s="5">
        <f>SUMPRODUCT(H7:H35,I7:I35)</f>
        <v>125</v>
      </c>
      <c r="J36" s="5" t="s">
        <v>9</v>
      </c>
      <c r="K36" s="5">
        <f>SUMPRODUCT(J7:J35,K7:K35)</f>
        <v>84</v>
      </c>
      <c r="L36" s="5" t="s">
        <v>9</v>
      </c>
      <c r="M36" s="5">
        <f>SUMPRODUCT(L7:L35,M7:M35)</f>
        <v>270</v>
      </c>
      <c r="N36" s="5" t="s">
        <v>9</v>
      </c>
      <c r="O36" s="5">
        <f>SUMPRODUCT(N7:N35,O7:O35)</f>
        <v>56</v>
      </c>
      <c r="P36" s="5">
        <f>SUM(G36,I36,K36,M36,O36)</f>
        <v>639</v>
      </c>
    </row>
    <row r="38" spans="2:4" x14ac:dyDescent="0.25">
      <c r="B38" s="2" t="s">
        <v>70</v>
      </c>
      <c r="C38" s="2">
        <f>0.65+0.01*'Hệ số hiệu chỉnh'!C14</f>
        <v>1.14</v>
      </c>
      <c r="D38" s="2" t="s">
        <v>71</v>
      </c>
    </row>
    <row r="39" spans="2:4" x14ac:dyDescent="0.25">
      <c r="B39" s="2" t="s">
        <v>72</v>
      </c>
      <c r="C39" s="2">
        <f>P36*C38</f>
        <v>728.46</v>
      </c>
      <c r="D39" s="2" t="s">
        <v>73</v>
      </c>
    </row>
    <row r="40" spans="2:4" x14ac:dyDescent="0.25">
      <c r="B40" s="2" t="s">
        <v>74</v>
      </c>
      <c r="C40" s="2">
        <f>C39*0.45</f>
        <v>327.81</v>
      </c>
      <c r="D40" s="2"/>
    </row>
    <row r="41" spans="2:4" x14ac:dyDescent="0.25">
      <c r="B41" s="2" t="s">
        <v>75</v>
      </c>
      <c r="C41" s="2">
        <f>C39*0.55</f>
        <v>400.65</v>
      </c>
      <c r="D41" s="2"/>
    </row>
    <row r="42" spans="2:4" x14ac:dyDescent="0.25">
      <c r="B42" s="2" t="s">
        <v>76</v>
      </c>
      <c r="C42" s="2">
        <f>SUM(C40:C41)</f>
        <v>728.46</v>
      </c>
      <c r="D42" s="2"/>
    </row>
    <row r="46" spans="1:4" x14ac:dyDescent="0.25">
      <c r="A46" t="s">
        <v>9</v>
      </c>
      <c r="B46" s="6" t="s">
        <v>77</v>
      </c>
      <c r="C46" s="6" t="s">
        <v>78</v>
      </c>
      <c r="D46" s="6" t="s">
        <v>79</v>
      </c>
    </row>
    <row r="47" spans="1:4" x14ac:dyDescent="0.25">
      <c r="A47" t="s">
        <v>9</v>
      </c>
      <c r="B47" s="2" t="s">
        <v>80</v>
      </c>
      <c r="C47" s="2">
        <v>20</v>
      </c>
      <c r="D47" s="2" t="s">
        <v>81</v>
      </c>
    </row>
    <row r="48" spans="1:4" x14ac:dyDescent="0.25">
      <c r="A48" t="s">
        <v>9</v>
      </c>
      <c r="B48" s="2" t="s">
        <v>82</v>
      </c>
      <c r="C48" s="2">
        <v>4</v>
      </c>
      <c r="D48" s="2" t="s">
        <v>83</v>
      </c>
    </row>
    <row r="49" spans="1:4" x14ac:dyDescent="0.25">
      <c r="A49" t="s">
        <v>9</v>
      </c>
      <c r="B49" s="2" t="s">
        <v>84</v>
      </c>
      <c r="C49" s="2">
        <f>C47/C48</f>
        <v>5</v>
      </c>
      <c r="D49" s="2" t="s">
        <v>81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5.13" customWidth="1"/>
    <col min="2" max="2" width="38.63" customWidth="1"/>
    <col min="3" max="3" width="9.13" customWidth="1"/>
    <col min="4" max="4" width="90.13" customWidth="1"/>
  </cols>
  <sheetData>
    <row r="1" spans="1:4" x14ac:dyDescent="0.25">
      <c r="A1" s="3" t="s">
        <v>5</v>
      </c>
      <c r="B1" s="3" t="s">
        <v>85</v>
      </c>
      <c r="C1" s="3" t="s">
        <v>86</v>
      </c>
      <c r="D1" s="3" t="s">
        <v>87</v>
      </c>
    </row>
    <row r="2" ht="36" customHeight="1" spans="1:4" x14ac:dyDescent="0.25">
      <c r="A2" s="4">
        <v>1</v>
      </c>
      <c r="B2" s="2" t="s">
        <v>88</v>
      </c>
      <c r="C2" s="4">
        <v>5</v>
      </c>
      <c r="D2" s="2" t="s">
        <v>89</v>
      </c>
    </row>
    <row r="3" ht="36" customHeight="1" spans="1:4" x14ac:dyDescent="0.25">
      <c r="A3" s="4">
        <v>2</v>
      </c>
      <c r="B3" s="2" t="s">
        <v>90</v>
      </c>
      <c r="C3" s="4">
        <v>4</v>
      </c>
      <c r="D3" s="2" t="s">
        <v>91</v>
      </c>
    </row>
    <row r="4" ht="36" customHeight="1" spans="1:4" x14ac:dyDescent="0.25">
      <c r="A4" s="4">
        <v>3</v>
      </c>
      <c r="B4" s="2" t="s">
        <v>92</v>
      </c>
      <c r="C4" s="4">
        <v>3</v>
      </c>
      <c r="D4" s="2" t="s">
        <v>93</v>
      </c>
    </row>
    <row r="5" ht="36" customHeight="1" spans="1:4" x14ac:dyDescent="0.25">
      <c r="A5" s="4">
        <v>4</v>
      </c>
      <c r="B5" s="2" t="s">
        <v>94</v>
      </c>
      <c r="C5" s="4">
        <v>4</v>
      </c>
      <c r="D5" s="2" t="s">
        <v>95</v>
      </c>
    </row>
    <row r="6" ht="36" customHeight="1" spans="1:4" x14ac:dyDescent="0.25">
      <c r="A6" s="4">
        <v>5</v>
      </c>
      <c r="B6" s="2" t="s">
        <v>96</v>
      </c>
      <c r="C6" s="4">
        <v>4</v>
      </c>
      <c r="D6" s="2" t="s">
        <v>97</v>
      </c>
    </row>
    <row r="7" ht="36" customHeight="1" spans="1:4" x14ac:dyDescent="0.25">
      <c r="A7" s="4">
        <v>6</v>
      </c>
      <c r="B7" s="2" t="s">
        <v>98</v>
      </c>
      <c r="C7" s="4">
        <v>5</v>
      </c>
      <c r="D7" s="2" t="s">
        <v>99</v>
      </c>
    </row>
    <row r="8" ht="36" customHeight="1" spans="1:4" x14ac:dyDescent="0.25">
      <c r="A8" s="4">
        <v>7</v>
      </c>
      <c r="B8" s="2" t="s">
        <v>100</v>
      </c>
      <c r="C8" s="4">
        <v>5</v>
      </c>
      <c r="D8" s="2" t="s">
        <v>101</v>
      </c>
    </row>
    <row r="9" ht="36" customHeight="1" spans="1:4" x14ac:dyDescent="0.25">
      <c r="A9" s="4">
        <v>8</v>
      </c>
      <c r="B9" s="2" t="s">
        <v>102</v>
      </c>
      <c r="C9" s="4">
        <v>4</v>
      </c>
      <c r="D9" s="2" t="s">
        <v>103</v>
      </c>
    </row>
    <row r="10" ht="36" customHeight="1" spans="1:4" x14ac:dyDescent="0.25">
      <c r="A10" s="4">
        <v>9</v>
      </c>
      <c r="B10" s="2" t="s">
        <v>104</v>
      </c>
      <c r="C10" s="4">
        <v>4</v>
      </c>
      <c r="D10" s="2" t="s">
        <v>105</v>
      </c>
    </row>
    <row r="11" ht="36" customHeight="1" spans="1:4" x14ac:dyDescent="0.25">
      <c r="A11" s="4">
        <v>10</v>
      </c>
      <c r="B11" s="2" t="s">
        <v>106</v>
      </c>
      <c r="C11" s="4">
        <v>4</v>
      </c>
      <c r="D11" s="2" t="s">
        <v>107</v>
      </c>
    </row>
    <row r="12" ht="36" customHeight="1" spans="1:4" x14ac:dyDescent="0.25">
      <c r="A12" s="4">
        <v>11</v>
      </c>
      <c r="B12" s="2" t="s">
        <v>108</v>
      </c>
      <c r="C12" s="4">
        <v>3</v>
      </c>
      <c r="D12" s="2" t="s">
        <v>109</v>
      </c>
    </row>
    <row r="13" ht="36" customHeight="1" spans="1:4" x14ac:dyDescent="0.25">
      <c r="A13" s="4">
        <v>12</v>
      </c>
      <c r="B13" s="2" t="s">
        <v>110</v>
      </c>
      <c r="C13" s="4">
        <v>4</v>
      </c>
      <c r="D13" s="2" t="s">
        <v>111</v>
      </c>
    </row>
    <row r="14" spans="1:4" x14ac:dyDescent="0.25">
      <c r="A14" s="5" t="s">
        <v>9</v>
      </c>
      <c r="B14" s="5" t="s">
        <v>23</v>
      </c>
      <c r="C14" s="5">
        <f>SUM(C2:C13)</f>
        <v>49</v>
      </c>
      <c r="D14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7.38" customWidth="1"/>
    <col min="2" max="2" width="34.38" customWidth="1"/>
    <col min="3" max="3" width="21.88" customWidth="1"/>
  </cols>
  <sheetData>
    <row r="1" spans="1:3" x14ac:dyDescent="0.25">
      <c r="A1" s="1" t="s">
        <v>112</v>
      </c>
      <c r="B1" s="1"/>
      <c r="C1" s="1"/>
    </row>
    <row r="3" spans="1:3" x14ac:dyDescent="0.25">
      <c r="A3" s="3" t="s">
        <v>113</v>
      </c>
      <c r="B3" s="3" t="s">
        <v>114</v>
      </c>
      <c r="C3" s="3" t="s">
        <v>115</v>
      </c>
    </row>
    <row r="4" spans="1:3" x14ac:dyDescent="0.25">
      <c r="A4" s="4">
        <v>1</v>
      </c>
      <c r="B4" s="4" t="s">
        <v>13</v>
      </c>
      <c r="C4" s="4">
        <v>104</v>
      </c>
    </row>
    <row r="5" spans="1:3" x14ac:dyDescent="0.25">
      <c r="A5" s="4">
        <v>2</v>
      </c>
      <c r="B5" s="4" t="s">
        <v>15</v>
      </c>
      <c r="C5" s="4">
        <v>125</v>
      </c>
    </row>
    <row r="6" spans="1:3" x14ac:dyDescent="0.25">
      <c r="A6" s="4">
        <v>3</v>
      </c>
      <c r="B6" s="4" t="s">
        <v>17</v>
      </c>
      <c r="C6" s="4">
        <v>84</v>
      </c>
    </row>
    <row r="7" spans="1:3" x14ac:dyDescent="0.25">
      <c r="A7" s="4">
        <v>4</v>
      </c>
      <c r="B7" s="4" t="s">
        <v>19</v>
      </c>
      <c r="C7" s="4">
        <v>270</v>
      </c>
    </row>
    <row r="8" spans="1:3" x14ac:dyDescent="0.25">
      <c r="A8" s="4">
        <v>5</v>
      </c>
      <c r="B8" s="4" t="s">
        <v>21</v>
      </c>
      <c r="C8" s="4">
        <v>56</v>
      </c>
    </row>
    <row r="9" spans="1:3" x14ac:dyDescent="0.25">
      <c r="A9" s="5" t="s">
        <v>9</v>
      </c>
      <c r="B9" s="5" t="s">
        <v>116</v>
      </c>
      <c r="C9" s="5">
        <f>'Danh sách chức năng'!C42*'Danh sách chức năng'!C46</f>
        <v>3642.3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3.25" customWidth="1"/>
    <col min="2" max="2" width="15.13" customWidth="1"/>
    <col min="3" max="3" width="22.88" customWidth="1"/>
  </cols>
  <sheetData>
    <row r="1" spans="1:3" x14ac:dyDescent="0.25">
      <c r="A1" s="1" t="s">
        <v>117</v>
      </c>
      <c r="B1" s="1"/>
      <c r="C1" s="1"/>
    </row>
    <row r="4" spans="1:3" x14ac:dyDescent="0.25">
      <c r="A4" s="3" t="s">
        <v>118</v>
      </c>
      <c r="B4" s="3" t="s">
        <v>119</v>
      </c>
      <c r="C4" s="3" t="s">
        <v>120</v>
      </c>
    </row>
    <row r="5" spans="1:3" x14ac:dyDescent="0.25">
      <c r="A5" s="2" t="s">
        <v>121</v>
      </c>
      <c r="B5" s="7">
        <v>0.3</v>
      </c>
      <c r="C5" s="4">
        <f>$C$10*B5</f>
        <v>1092.69</v>
      </c>
    </row>
    <row r="6" spans="1:3" x14ac:dyDescent="0.25">
      <c r="A6" s="2" t="s">
        <v>122</v>
      </c>
      <c r="B6" s="7">
        <v>0.2</v>
      </c>
      <c r="C6" s="4">
        <f>$C$10*B6</f>
        <v>728.46</v>
      </c>
    </row>
    <row r="7" spans="1:3" x14ac:dyDescent="0.25">
      <c r="A7" s="2" t="s">
        <v>123</v>
      </c>
      <c r="B7" s="7">
        <v>0.1</v>
      </c>
      <c r="C7" s="4">
        <f>$C$10*B7</f>
        <v>364.23</v>
      </c>
    </row>
    <row r="8" spans="1:3" x14ac:dyDescent="0.25">
      <c r="A8" s="2" t="s">
        <v>124</v>
      </c>
      <c r="B8" s="7">
        <v>0.05</v>
      </c>
      <c r="C8" s="4">
        <f>$C$10*B8</f>
        <v>182.12</v>
      </c>
    </row>
    <row r="9" spans="1:3" x14ac:dyDescent="0.25">
      <c r="A9" s="2" t="s">
        <v>125</v>
      </c>
      <c r="B9" s="7">
        <v>0.35</v>
      </c>
      <c r="C9" s="4">
        <f>$C$10*B9</f>
        <v>1274.81</v>
      </c>
    </row>
    <row r="10" spans="1:3" x14ac:dyDescent="0.25">
      <c r="A10" s="5" t="s">
        <v>126</v>
      </c>
      <c r="B10" s="5"/>
      <c r="C10" s="5">
        <v>3642.3</v>
      </c>
    </row>
  </sheetData>
  <mergeCells count="2">
    <mergeCell ref="A1:C1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sách chức năng</vt:lpstr>
      <vt:lpstr>Hệ số hiệu chỉnh</vt:lpstr>
      <vt:lpstr>Công nghệ triển khai</vt:lpstr>
      <vt:lpstr>Danh mục chi phí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2026-05-28T04:16:42Z</dcterms:created>
  <dcterms:modified xsi:type="dcterms:W3CDTF">2026-05-28T04:16:42Z</dcterms:modified>
</cp:coreProperties>
</file>